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55a04dfe5b906f/Desktop/"/>
    </mc:Choice>
  </mc:AlternateContent>
  <xr:revisionPtr revIDLastSave="0" documentId="8_{8BC15649-ED75-4366-8E49-AB384F561DBB}" xr6:coauthVersionLast="47" xr6:coauthVersionMax="47" xr10:uidLastSave="{00000000-0000-0000-0000-000000000000}"/>
  <bookViews>
    <workbookView xWindow="-108" yWindow="-108" windowWidth="23256" windowHeight="12456" xr2:uid="{8F05F159-8BF1-4D1A-97B8-DC9A76DA9D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K13" i="1"/>
  <c r="L13" i="1"/>
  <c r="M13" i="1"/>
  <c r="G13" i="1"/>
  <c r="H13" i="1"/>
  <c r="I13" i="1"/>
  <c r="F13" i="1"/>
  <c r="K2" i="1"/>
  <c r="J4" i="1"/>
  <c r="K4" i="1" s="1"/>
  <c r="J5" i="1"/>
  <c r="J6" i="1"/>
  <c r="J7" i="1"/>
  <c r="J8" i="1"/>
  <c r="J9" i="1"/>
  <c r="J10" i="1"/>
  <c r="J11" i="1"/>
  <c r="J3" i="1"/>
  <c r="J2" i="1"/>
  <c r="I4" i="1"/>
  <c r="I5" i="1"/>
  <c r="K5" i="1" s="1"/>
  <c r="I6" i="1"/>
  <c r="K6" i="1" s="1"/>
  <c r="I7" i="1"/>
  <c r="K7" i="1" s="1"/>
  <c r="I8" i="1"/>
  <c r="K8" i="1" s="1"/>
  <c r="I9" i="1"/>
  <c r="K9" i="1" s="1"/>
  <c r="I10" i="1"/>
  <c r="K10" i="1" s="1"/>
  <c r="I11" i="1"/>
  <c r="K11" i="1" s="1"/>
  <c r="I3" i="1"/>
  <c r="K3" i="1" s="1"/>
  <c r="I2" i="1"/>
</calcChain>
</file>

<file path=xl/sharedStrings.xml><?xml version="1.0" encoding="utf-8"?>
<sst xmlns="http://schemas.openxmlformats.org/spreadsheetml/2006/main" count="33" uniqueCount="25">
  <si>
    <t>Serial No</t>
  </si>
  <si>
    <t>Product Name</t>
  </si>
  <si>
    <t>Supplier Name</t>
  </si>
  <si>
    <t>Date of Purchase</t>
  </si>
  <si>
    <t>Date of Expiry</t>
  </si>
  <si>
    <t>A</t>
  </si>
  <si>
    <t>Qty</t>
  </si>
  <si>
    <t>Cost</t>
  </si>
  <si>
    <t>Total Amount</t>
  </si>
  <si>
    <t>CGST(12%)</t>
  </si>
  <si>
    <t>SGST(8%)</t>
  </si>
  <si>
    <t xml:space="preserve">Total Amount After GST </t>
  </si>
  <si>
    <t>Selling Price</t>
  </si>
  <si>
    <t>Total Sales</t>
  </si>
  <si>
    <t>B</t>
  </si>
  <si>
    <t>C</t>
  </si>
  <si>
    <t>D</t>
  </si>
  <si>
    <t>E</t>
  </si>
  <si>
    <t>F</t>
  </si>
  <si>
    <t>G</t>
  </si>
  <si>
    <t>H</t>
  </si>
  <si>
    <t>I</t>
  </si>
  <si>
    <t>J</t>
  </si>
  <si>
    <t>PREM VAYLE</t>
  </si>
  <si>
    <t xml:space="preserve">NAYAN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</si>
</sst>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19549-24C5-4C31-B5BA-1006A2265978}">
  <dimension ref="A1:N14"/>
  <sheetViews>
    <sheetView tabSelected="1" workbookViewId="0">
      <selection activeCell="M1" sqref="M1"/>
    </sheetView>
  </sheetViews>
  <sheetFormatPr defaultRowHeight="14.4" x14ac:dyDescent="0.3"/>
  <cols>
    <col min="2" max="2" width="12.5546875" bestFit="1" customWidth="1"/>
    <col min="3" max="3" width="12.77734375" bestFit="1" customWidth="1"/>
    <col min="4" max="4" width="15.109375" customWidth="1"/>
    <col min="5" max="5" width="11.6640625" bestFit="1" customWidth="1"/>
    <col min="8" max="8" width="11.44140625" bestFit="1" customWidth="1"/>
    <col min="9" max="9" width="10.109375" bestFit="1" customWidth="1"/>
    <col min="11" max="11" width="19.77734375" bestFit="1" customWidth="1"/>
    <col min="12" max="12" width="10.77734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6" t="s">
        <v>3</v>
      </c>
      <c r="E1" s="6" t="s">
        <v>4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1" t="s">
        <v>12</v>
      </c>
      <c r="M1" s="1" t="s">
        <v>13</v>
      </c>
      <c r="N1" s="3"/>
    </row>
    <row r="2" spans="1:14" x14ac:dyDescent="0.3">
      <c r="A2" s="2">
        <v>1</v>
      </c>
      <c r="B2" s="2" t="s">
        <v>5</v>
      </c>
      <c r="C2" s="2" t="s">
        <v>23</v>
      </c>
      <c r="D2" s="4">
        <v>46188</v>
      </c>
      <c r="E2" s="4">
        <v>46223</v>
      </c>
      <c r="F2" s="2">
        <v>75</v>
      </c>
      <c r="G2" s="2">
        <v>80</v>
      </c>
      <c r="H2" s="2">
        <v>6000</v>
      </c>
      <c r="I2" s="2">
        <f>H2*12%</f>
        <v>720</v>
      </c>
      <c r="J2" s="2">
        <f>H2*8%</f>
        <v>480</v>
      </c>
      <c r="K2" s="2">
        <f>SUM(H2:J2)</f>
        <v>7200</v>
      </c>
      <c r="L2" s="2">
        <v>90</v>
      </c>
      <c r="M2" s="2">
        <v>6750</v>
      </c>
      <c r="N2" s="3"/>
    </row>
    <row r="3" spans="1:14" x14ac:dyDescent="0.3">
      <c r="A3" s="2">
        <v>2</v>
      </c>
      <c r="B3" s="2" t="s">
        <v>14</v>
      </c>
      <c r="C3" s="2" t="s">
        <v>23</v>
      </c>
      <c r="D3" s="4">
        <v>46189</v>
      </c>
      <c r="E3" s="4">
        <v>46224</v>
      </c>
      <c r="F3" s="2">
        <v>80</v>
      </c>
      <c r="G3" s="2">
        <v>85</v>
      </c>
      <c r="H3" s="2">
        <v>6800</v>
      </c>
      <c r="I3" s="5">
        <f>H3*12%</f>
        <v>816</v>
      </c>
      <c r="J3" s="5">
        <f>H3*8%</f>
        <v>544</v>
      </c>
      <c r="K3" s="2">
        <f>SUM(H3:J3)</f>
        <v>8160</v>
      </c>
      <c r="L3" s="2">
        <v>100</v>
      </c>
      <c r="M3" s="2">
        <v>8000</v>
      </c>
      <c r="N3" s="3"/>
    </row>
    <row r="4" spans="1:14" x14ac:dyDescent="0.3">
      <c r="A4" s="2">
        <v>3</v>
      </c>
      <c r="B4" s="2" t="s">
        <v>15</v>
      </c>
      <c r="C4" s="2" t="s">
        <v>23</v>
      </c>
      <c r="D4" s="4">
        <v>46193</v>
      </c>
      <c r="E4" s="4">
        <v>46225</v>
      </c>
      <c r="F4" s="2">
        <v>45</v>
      </c>
      <c r="G4" s="2">
        <v>120</v>
      </c>
      <c r="H4" s="2">
        <v>5400</v>
      </c>
      <c r="I4" s="5">
        <f t="shared" ref="I4:I11" si="0">H4*12%</f>
        <v>648</v>
      </c>
      <c r="J4" s="5">
        <f t="shared" ref="J4:J11" si="1">H4*8%</f>
        <v>432</v>
      </c>
      <c r="K4" s="5">
        <f>SUM(H4:J4)</f>
        <v>6480</v>
      </c>
      <c r="L4" s="2">
        <v>150</v>
      </c>
      <c r="M4" s="2">
        <v>6750</v>
      </c>
      <c r="N4" s="3"/>
    </row>
    <row r="5" spans="1:14" x14ac:dyDescent="0.3">
      <c r="A5" s="2">
        <v>4</v>
      </c>
      <c r="B5" s="2" t="s">
        <v>16</v>
      </c>
      <c r="C5" s="2" t="s">
        <v>23</v>
      </c>
      <c r="D5" s="4">
        <v>46188</v>
      </c>
      <c r="E5" s="4">
        <v>46226</v>
      </c>
      <c r="F5" s="2">
        <v>82</v>
      </c>
      <c r="G5" s="2">
        <v>56</v>
      </c>
      <c r="H5" s="2">
        <v>4592</v>
      </c>
      <c r="I5" s="5">
        <f t="shared" si="0"/>
        <v>551.04</v>
      </c>
      <c r="J5" s="5">
        <f t="shared" si="1"/>
        <v>367.36</v>
      </c>
      <c r="K5" s="5">
        <f t="shared" ref="K5:K11" si="2">SUM(H5:J5)</f>
        <v>5510.4</v>
      </c>
      <c r="L5" s="2">
        <v>60</v>
      </c>
      <c r="M5" s="2">
        <v>4920</v>
      </c>
      <c r="N5" s="3"/>
    </row>
    <row r="6" spans="1:14" x14ac:dyDescent="0.3">
      <c r="A6" s="2">
        <v>5</v>
      </c>
      <c r="B6" s="2" t="s">
        <v>17</v>
      </c>
      <c r="C6" s="2" t="s">
        <v>23</v>
      </c>
      <c r="D6" s="4">
        <v>46189</v>
      </c>
      <c r="E6" s="4">
        <v>46227</v>
      </c>
      <c r="F6" s="2">
        <v>65</v>
      </c>
      <c r="G6" s="2">
        <v>95</v>
      </c>
      <c r="H6" s="2">
        <v>6175</v>
      </c>
      <c r="I6" s="5">
        <f t="shared" si="0"/>
        <v>741</v>
      </c>
      <c r="J6" s="5">
        <f t="shared" si="1"/>
        <v>494</v>
      </c>
      <c r="K6" s="5">
        <f t="shared" si="2"/>
        <v>7410</v>
      </c>
      <c r="L6" s="2">
        <v>50</v>
      </c>
      <c r="M6" s="2">
        <v>3250</v>
      </c>
      <c r="N6" s="3"/>
    </row>
    <row r="7" spans="1:14" x14ac:dyDescent="0.3">
      <c r="A7" s="2">
        <v>6</v>
      </c>
      <c r="B7" s="2" t="s">
        <v>18</v>
      </c>
      <c r="C7" s="2" t="s">
        <v>23</v>
      </c>
      <c r="D7" s="4">
        <v>46193</v>
      </c>
      <c r="E7" s="4">
        <v>46228</v>
      </c>
      <c r="F7" s="2">
        <v>25</v>
      </c>
      <c r="G7" s="2">
        <v>63</v>
      </c>
      <c r="H7" s="2">
        <v>1575</v>
      </c>
      <c r="I7" s="5">
        <f t="shared" si="0"/>
        <v>189</v>
      </c>
      <c r="J7" s="5">
        <f t="shared" si="1"/>
        <v>126</v>
      </c>
      <c r="K7" s="5">
        <f t="shared" si="2"/>
        <v>1890</v>
      </c>
      <c r="L7" s="2">
        <v>120</v>
      </c>
      <c r="M7" s="2">
        <v>3000</v>
      </c>
      <c r="N7" s="3"/>
    </row>
    <row r="8" spans="1:14" x14ac:dyDescent="0.3">
      <c r="A8" s="2">
        <v>7</v>
      </c>
      <c r="B8" s="2" t="s">
        <v>19</v>
      </c>
      <c r="C8" s="2" t="s">
        <v>24</v>
      </c>
      <c r="D8" s="4">
        <v>46188</v>
      </c>
      <c r="E8" s="4">
        <v>46229</v>
      </c>
      <c r="F8" s="2">
        <v>90</v>
      </c>
      <c r="G8" s="2">
        <v>78</v>
      </c>
      <c r="H8" s="2">
        <v>7020</v>
      </c>
      <c r="I8" s="5">
        <f t="shared" si="0"/>
        <v>842.4</v>
      </c>
      <c r="J8" s="5">
        <f t="shared" si="1"/>
        <v>561.6</v>
      </c>
      <c r="K8" s="5">
        <f t="shared" si="2"/>
        <v>8424</v>
      </c>
      <c r="L8" s="2">
        <v>120</v>
      </c>
      <c r="M8" s="2">
        <v>10800</v>
      </c>
      <c r="N8" s="3"/>
    </row>
    <row r="9" spans="1:14" x14ac:dyDescent="0.3">
      <c r="A9" s="2">
        <v>8</v>
      </c>
      <c r="B9" s="2" t="s">
        <v>20</v>
      </c>
      <c r="C9" s="2" t="s">
        <v>24</v>
      </c>
      <c r="D9" s="4">
        <v>46189</v>
      </c>
      <c r="E9" s="4">
        <v>46230</v>
      </c>
      <c r="F9" s="2">
        <v>95</v>
      </c>
      <c r="G9" s="2">
        <v>76</v>
      </c>
      <c r="H9" s="2">
        <v>7220</v>
      </c>
      <c r="I9" s="5">
        <f t="shared" si="0"/>
        <v>866.4</v>
      </c>
      <c r="J9" s="5">
        <f t="shared" si="1"/>
        <v>577.6</v>
      </c>
      <c r="K9" s="5">
        <f t="shared" si="2"/>
        <v>8664</v>
      </c>
      <c r="L9" s="2">
        <v>130</v>
      </c>
      <c r="M9" s="2">
        <v>12350</v>
      </c>
      <c r="N9" s="3"/>
    </row>
    <row r="10" spans="1:14" x14ac:dyDescent="0.3">
      <c r="A10" s="2">
        <v>9</v>
      </c>
      <c r="B10" s="2" t="s">
        <v>21</v>
      </c>
      <c r="C10" s="2" t="s">
        <v>24</v>
      </c>
      <c r="D10" s="4">
        <v>46193</v>
      </c>
      <c r="E10" s="4">
        <v>46231</v>
      </c>
      <c r="F10" s="2">
        <v>99</v>
      </c>
      <c r="G10" s="2">
        <v>82</v>
      </c>
      <c r="H10" s="2">
        <v>8118</v>
      </c>
      <c r="I10" s="5">
        <f t="shared" si="0"/>
        <v>974.16</v>
      </c>
      <c r="J10" s="5">
        <f t="shared" si="1"/>
        <v>649.44000000000005</v>
      </c>
      <c r="K10" s="5">
        <f t="shared" si="2"/>
        <v>9741.6</v>
      </c>
      <c r="L10" s="2">
        <v>120</v>
      </c>
      <c r="M10" s="2">
        <v>11880</v>
      </c>
      <c r="N10" s="3"/>
    </row>
    <row r="11" spans="1:14" x14ac:dyDescent="0.3">
      <c r="A11" s="2">
        <v>10</v>
      </c>
      <c r="B11" s="2" t="s">
        <v>22</v>
      </c>
      <c r="C11" s="2" t="s">
        <v>24</v>
      </c>
      <c r="D11" s="4">
        <v>46188</v>
      </c>
      <c r="E11" s="4">
        <v>46232</v>
      </c>
      <c r="F11" s="2">
        <v>52</v>
      </c>
      <c r="G11" s="2">
        <v>43</v>
      </c>
      <c r="H11" s="2">
        <v>2236</v>
      </c>
      <c r="I11" s="5">
        <f t="shared" si="0"/>
        <v>268.32</v>
      </c>
      <c r="J11" s="5">
        <f t="shared" si="1"/>
        <v>178.88</v>
      </c>
      <c r="K11" s="5">
        <f t="shared" si="2"/>
        <v>2683.2000000000003</v>
      </c>
      <c r="L11" s="2">
        <v>50</v>
      </c>
      <c r="M11" s="2">
        <v>2600</v>
      </c>
      <c r="N11" s="3"/>
    </row>
    <row r="12" spans="1:1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</row>
    <row r="13" spans="1:14" x14ac:dyDescent="0.3">
      <c r="A13" s="2"/>
      <c r="B13" s="2"/>
      <c r="C13" s="2"/>
      <c r="D13" s="2"/>
      <c r="E13" s="2"/>
      <c r="F13" s="5">
        <f>SUM(F2:F11)</f>
        <v>708</v>
      </c>
      <c r="G13" s="5">
        <f t="shared" ref="G13:M13" si="3">SUM(G2:G11)</f>
        <v>778</v>
      </c>
      <c r="H13" s="5">
        <f t="shared" si="3"/>
        <v>55136</v>
      </c>
      <c r="I13" s="5">
        <f t="shared" si="3"/>
        <v>6616.3199999999988</v>
      </c>
      <c r="J13" s="5">
        <f>SUM(J2:J11)</f>
        <v>4410.88</v>
      </c>
      <c r="K13" s="5">
        <f t="shared" si="3"/>
        <v>66163.199999999997</v>
      </c>
      <c r="L13" s="5">
        <f t="shared" si="3"/>
        <v>990</v>
      </c>
      <c r="M13" s="5">
        <f t="shared" si="3"/>
        <v>70300</v>
      </c>
      <c r="N13" s="3"/>
    </row>
    <row r="14" spans="1:1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premvayle907@outlook.com</dc:creator>
  <cp:lastModifiedBy>premvayle907@outlook.com</cp:lastModifiedBy>
  <dcterms:created xsi:type="dcterms:W3CDTF">2026-06-26T02:26:13Z</dcterms:created>
  <dcterms:modified xsi:type="dcterms:W3CDTF">2026-06-26T02:51:22Z</dcterms:modified>
</cp:coreProperties>
</file>